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3135f39f0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c44efb86e842db"/>
    <x:sheet xmlns:r="http://schemas.openxmlformats.org/officeDocument/2006/relationships" name="Outreach" sheetId="2" r:id="R7ee479bd6fca4f82"/>
    <x:sheet xmlns:r="http://schemas.openxmlformats.org/officeDocument/2006/relationships" name="Sources" sheetId="3" r:id="Rdfd4002a18d8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4F8FB"/>
      </x:patternFill>
    </x:fill>
    <x:fill>
      <x:patternFill patternType="solid">
        <x:fgColor rgb="E2F0D9"/>
      </x:patternFill>
    </x:fill>
    <x:fill>
      <x:patternFill patternType="solid">
        <x:fgColor rgb="F8FBFF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B4C7E7"/>
      </x:patternFill>
    </x:fill>
    <x:fill>
      <x:patternFill patternType="solid">
        <x:fgColor rgb="C6E0B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a05719bc6484b" /><Relationship Type="http://schemas.openxmlformats.org/officeDocument/2006/relationships/theme" Target="/xl/theme/theme1.xml" Id="Rd3f4f603209f4238" /><Relationship Type="http://schemas.openxmlformats.org/officeDocument/2006/relationships/sharedStrings" Target="/xl/sharedStrings.xml" Id="Rb00661f21c304040" /><Relationship Type="http://schemas.openxmlformats.org/officeDocument/2006/relationships/worksheet" Target="/xl/worksheets/sheet1.xml" Id="Ra1c44efb86e842db" /><Relationship Type="http://schemas.openxmlformats.org/officeDocument/2006/relationships/worksheet" Target="/xl/worksheets/sheet2.xml" Id="R7ee479bd6fca4f82" /><Relationship Type="http://schemas.openxmlformats.org/officeDocument/2006/relationships/worksheet" Target="/xl/worksheets/sheet3.xml" Id="Rdfd4002a18d846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a1364af48441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Targets by Category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'Summary'!$B$12:$B$14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a1364af484415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d1b407cd5d46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8" t="str">
        <x:v>Guitarmalade Outreach Targets Near Greenwich, CT</x:v>
      </x:c>
      <x:c r="B1" s="8"/>
      <x:c r="C1" s="8"/>
      <x:c r="D1" s="8"/>
      <x:c r="E1" s="8"/>
      <x:c r="F1" s="8"/>
      <x:c r="G1" s="8"/>
      <x:c r="H1" s="8"/>
    </x:row>
    <x:row r="2" ht="42" customHeight="1">
      <x:c r="A2" s="12" t="str">
        <x:v>Workbook built on May 3, 2026. Prioritized organizations within roughly a 2-hour drive that show workshop/masterclass activity or are practical local partners for a guitar workshop.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Total targets</x:v>
      </x:c>
      <x:c r="B4" s="18" t="n">
        <x:f>COUNTA(Outreach!B:B)-1</x:f>
        <x:v>22</x:v>
      </x:c>
      <x:c r="D4" s="28" t="str">
        <x:v>Email status</x:v>
      </x:c>
      <x:c r="E4" s="28" t="str">
        <x:v>Count</x:v>
      </x:c>
    </x:row>
    <x:row r="5">
      <x:c r="A5" s="19" t="str">
        <x:v>High priority</x:v>
      </x:c>
      <x:c r="B5" s="18" t="n">
        <x:f>COUNTIF(Outreach!A:A,"High")</x:f>
        <x:v>14</x:v>
      </x:c>
      <x:c r="D5" s="19" t="str">
        <x:v>Verified</x:v>
      </x:c>
      <x:c r="E5" s="19" t="n">
        <x:f>COUNTIF(Outreach!K:K,D5)</x:f>
        <x:v>19</x:v>
      </x:c>
    </x:row>
    <x:row r="6">
      <x:c r="A6" s="19" t="str">
        <x:v>Medium priority</x:v>
      </x:c>
      <x:c r="B6" s="18" t="n">
        <x:f>COUNTIF(Outreach!A:A,"Medium")</x:f>
        <x:v>8</x:v>
      </x:c>
      <x:c r="D6" s="19" t="str">
        <x:v>Inferred</x:v>
      </x:c>
      <x:c r="E6" s="19" t="n">
        <x:f>COUNTIF(Outreach!K:K,D6)</x:f>
        <x:v>1</x:v>
      </x:c>
    </x:row>
    <x:row r="7">
      <x:c r="A7" s="19" t="str">
        <x:v>Rows with sendable email</x:v>
      </x:c>
      <x:c r="B7" s="18" t="n">
        <x:f>COUNTIF(Outreach!K:K,"&lt;&gt;Phone/Form only")</x:f>
        <x:v>21</x:v>
      </x:c>
      <x:c r="D7" s="19" t="str">
        <x:v>Phone/Form only</x:v>
      </x:c>
      <x:c r="E7" s="19" t="n">
        <x:f>COUNTIF(Outreach!K:K,D7)</x:f>
        <x:v>2</x:v>
      </x:c>
    </x:row>
    <x:row r="8">
      <x:c r="A8" s="19" t="str">
        <x:v>Phone/form only</x:v>
      </x:c>
      <x:c r="B8" s="18" t="n">
        <x:f>COUNTIF(Outreach!K:K,"Phone/Form only")</x:f>
        <x:v>2</x:v>
      </x:c>
      <x:c r="D8" t="str"/>
      <x:c r="E8" t="str"/>
    </x:row>
    <x:row r="11">
      <x:c r="A11" s="24" t="str">
        <x:v>Category</x:v>
      </x:c>
      <x:c r="B11" s="24" t="str">
        <x:v>Count</x:v>
      </x:c>
      <x:c r="D11" s="24" t="str">
        <x:v>State</x:v>
      </x:c>
      <x:c r="E11" s="24" t="str">
        <x:v>Count</x:v>
      </x:c>
    </x:row>
    <x:row r="12">
      <x:c r="A12" s="19" t="str">
        <x:v>Store / retail business</x:v>
      </x:c>
      <x:c r="B12" s="19" t="n">
        <x:f>COUNTIF(Outreach!C:C,A12)</x:f>
        <x:v>5</x:v>
      </x:c>
      <x:c r="D12" s="19" t="str">
        <x:v>CT</x:v>
      </x:c>
      <x:c r="E12" s="19" t="n">
        <x:f>COUNTIF(Outreach!E:E,D12)</x:f>
        <x:v>12</x:v>
      </x:c>
    </x:row>
    <x:row r="13">
      <x:c r="A13" s="19" t="str">
        <x:v>School / arts org</x:v>
      </x:c>
      <x:c r="B13" s="19" t="n">
        <x:f>COUNTIF(Outreach!C:C,A13)</x:f>
        <x:v>11</x:v>
      </x:c>
      <x:c r="D13" s="19" t="str">
        <x:v>NY</x:v>
      </x:c>
      <x:c r="E13" s="19" t="n">
        <x:f>COUNTIF(Outreach!E:E,D13)</x:f>
        <x:v>10</x:v>
      </x:c>
    </x:row>
    <x:row r="14">
      <x:c r="A14" s="19" t="str">
        <x:v>College / conservatory</x:v>
      </x:c>
      <x:c r="B14" s="19" t="n">
        <x:f>COUNTIF(Outreach!C:C,A14)</x:f>
        <x:v>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2d1b407cd5d4600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2" hidden="0" customWidth="1"/>
    <x:col min="4" max="4" width="16" hidden="0" customWidth="1"/>
    <x:col min="5" max="5" width="8" hidden="0" customWidth="1"/>
    <x:col min="6" max="6" width="14" hidden="0" customWidth="1"/>
    <x:col min="7" max="7" width="16" hidden="0" customWidth="1"/>
    <x:col min="8" max="8" width="24" hidden="0" customWidth="1"/>
    <x:col min="9" max="9" width="24" hidden="0" customWidth="1"/>
    <x:col min="10" max="10" width="32" hidden="0" customWidth="1"/>
    <x:col min="11" max="11" width="14" hidden="0" customWidth="1"/>
    <x:col min="12" max="12" width="16" hidden="0" customWidth="1"/>
    <x:col min="13" max="13" width="42" hidden="0" customWidth="1"/>
    <x:col min="14" max="14" width="40" hidden="0" customWidth="1"/>
  </x:cols>
  <x:sheetData>
    <x:row r="1" ht="28" customHeight="1">
      <x:c r="A1" s="32" t="str">
        <x:v>Priority</x:v>
      </x:c>
      <x:c r="B1" s="32" t="str">
        <x:v>Organization</x:v>
      </x:c>
      <x:c r="C1" s="32" t="str">
        <x:v>Category</x:v>
      </x:c>
      <x:c r="D1" s="32" t="str">
        <x:v>City</x:v>
      </x:c>
      <x:c r="E1" s="32" t="str">
        <x:v>State</x:v>
      </x:c>
      <x:c r="F1" s="32" t="str">
        <x:v>Approx Drive</x:v>
      </x:c>
      <x:c r="G1" s="32" t="str">
        <x:v>Workshop Fit</x:v>
      </x:c>
      <x:c r="H1" s="32" t="str">
        <x:v>Contact Name / Dept</x:v>
      </x:c>
      <x:c r="I1" s="32" t="str">
        <x:v>Role</x:v>
      </x:c>
      <x:c r="J1" s="32" t="str">
        <x:v>Email / Digital Contact</x:v>
      </x:c>
      <x:c r="K1" s="32" t="str">
        <x:v>Email Status</x:v>
      </x:c>
      <x:c r="L1" s="32" t="str">
        <x:v>Phone</x:v>
      </x:c>
      <x:c r="M1" s="32" t="str">
        <x:v>Why It Fits</x:v>
      </x:c>
      <x:c r="N1" s="32" t="str">
        <x:v>Outreach Note</x:v>
      </x:c>
    </x:row>
    <x:row r="2" ht="42" customHeight="1">
      <x:c r="A2" s="34" t="str">
        <x:v>High</x:v>
      </x:c>
      <x:c r="B2" s="10" t="str">
        <x:v>Round Hill Music Co.</x:v>
      </x:c>
      <x:c r="C2" s="10" t="str">
        <x:v>Store / retail business</x:v>
      </x:c>
      <x:c r="D2" s="10" t="str">
        <x:v>Greenwich</x:v>
      </x:c>
      <x:c r="E2" s="34" t="str">
        <x:v>CT</x:v>
      </x:c>
      <x:c r="F2" s="34" t="str">
        <x:v>5-10 min</x:v>
      </x:c>
      <x:c r="G2" s="10" t="str">
        <x:v>Programs/events</x:v>
      </x:c>
      <x:c r="H2" s="10" t="str">
        <x:v>Round Hill Music Co. team</x:v>
      </x:c>
      <x:c r="I2" s="10" t="str">
        <x:v>General store contact</x:v>
      </x:c>
      <x:c r="J2" s="10" t="str">
        <x:v>hello@roundhillmusicco.com</x:v>
      </x:c>
      <x:c r="K2" s="34" t="str">
        <x:v>Verified</x:v>
      </x:c>
      <x:c r="L2" s="34" t="str">
        <x:v>475-328-2298</x:v>
      </x:c>
      <x:c r="M2" s="10" t="str">
        <x:v>Local guitar-focused store with an in-store stage for performances, artist clinics, and brand activations.</x:v>
      </x:c>
      <x:c r="N2" s="10" t="str">
        <x:v>Best hyper-local first stop for a guitar-centered workshop pitch.</x:v>
      </x:c>
    </x:row>
    <x:row r="3" ht="42" customHeight="1">
      <x:c r="A3" s="34" t="str">
        <x:v>High</x:v>
      </x:c>
      <x:c r="B3" s="10" t="str">
        <x:v>Giuliano's School of Music</x:v>
      </x:c>
      <x:c r="C3" s="10" t="str">
        <x:v>Store / retail business</x:v>
      </x:c>
      <x:c r="D3" s="10" t="str">
        <x:v>Stamford</x:v>
      </x:c>
      <x:c r="E3" s="34" t="str">
        <x:v>CT</x:v>
      </x:c>
      <x:c r="F3" s="34" t="str">
        <x:v>20-25 min</x:v>
      </x:c>
      <x:c r="G3" s="10" t="str">
        <x:v>Programs/events</x:v>
      </x:c>
      <x:c r="H3" s="10" t="str">
        <x:v>Giuliano's music school administrators</x:v>
      </x:c>
      <x:c r="I3" s="10" t="str">
        <x:v>General school contact</x:v>
      </x:c>
      <x:c r="J3" s="10" t="str">
        <x:v>gmusiccenter@aol.com</x:v>
      </x:c>
      <x:c r="K3" s="34" t="str">
        <x:v>Verified</x:v>
      </x:c>
      <x:c r="L3" s="34" t="str">
        <x:v>203-286-8005</x:v>
      </x:c>
      <x:c r="M3" s="10" t="str">
        <x:v>Lower Fairfield County music school/store with lessons, master theory classes, rentals, and repairs.</x:v>
      </x:c>
      <x:c r="N3" s="10" t="str">
        <x:v>General site pushes contact forms; public email appears on the official alternate contact page.</x:v>
      </x:c>
    </x:row>
    <x:row r="4" ht="42" customHeight="1">
      <x:c r="A4" s="34" t="str">
        <x:v>High</x:v>
      </x:c>
      <x:c r="B4" s="10" t="str">
        <x:v>The Gig Center at Westport</x:v>
      </x:c>
      <x:c r="C4" s="10" t="str">
        <x:v>Store / retail business</x:v>
      </x:c>
      <x:c r="D4" s="10" t="str">
        <x:v>Westport</x:v>
      </x:c>
      <x:c r="E4" s="34" t="str">
        <x:v>CT</x:v>
      </x:c>
      <x:c r="F4" s="34" t="str">
        <x:v>35-40 min</x:v>
      </x:c>
      <x:c r="G4" s="10" t="str">
        <x:v>Programs/events</x:v>
      </x:c>
      <x:c r="H4" s="10" t="str">
        <x:v>Chris Cass</x:v>
      </x:c>
      <x:c r="I4" s="10" t="str">
        <x:v>Lessons and scheduling contact</x:v>
      </x:c>
      <x:c r="J4" s="10" t="str">
        <x:v>chris@gigcenterwestport.com</x:v>
      </x:c>
      <x:c r="K4" s="34" t="str">
        <x:v>Verified</x:v>
      </x:c>
      <x:c r="L4" s="34" t="str">
        <x:v>203-292-8934</x:v>
      </x:c>
      <x:c r="M4" s="10" t="str">
        <x:v>Local music school/repair business already tied into area teachers, parents, and school music programs.</x:v>
      </x:c>
      <x:c r="N4" s="10" t="str">
        <x:v>Good fit for a practical guitar workshop or clinic pitch tied to lessons and community events.</x:v>
      </x:c>
    </x:row>
    <x:row r="5" ht="42" customHeight="1">
      <x:c r="A5" s="34" t="str">
        <x:v>High</x:v>
      </x:c>
      <x:c r="B5" s="10" t="str">
        <x:v>Westport School of Music</x:v>
      </x:c>
      <x:c r="C5" s="10" t="str">
        <x:v>School / arts org</x:v>
      </x:c>
      <x:c r="D5" s="10" t="str">
        <x:v>Westport</x:v>
      </x:c>
      <x:c r="E5" s="34" t="str">
        <x:v>CT</x:v>
      </x:c>
      <x:c r="F5" s="34" t="str">
        <x:v>35-40 min</x:v>
      </x:c>
      <x:c r="G5" s="10" t="str">
        <x:v>Explicit workshops</x:v>
      </x:c>
      <x:c r="H5" s="10" t="str">
        <x:v>Sarah Miller</x:v>
      </x:c>
      <x:c r="I5" s="10" t="str">
        <x:v>Director</x:v>
      </x:c>
      <x:c r="J5" s="10" t="str">
        <x:v>smiller@wsmusic.org</x:v>
      </x:c>
      <x:c r="K5" s="34" t="str">
        <x:v>Verified</x:v>
      </x:c>
      <x:c r="L5" s="34" t="str">
        <x:v>203-227-4931</x:v>
      </x:c>
      <x:c r="M5" s="10" t="str">
        <x:v>Community music school with a Songwriters' Workshop and active local partnerships.</x:v>
      </x:c>
      <x:c r="N5" s="10" t="str">
        <x:v>Strong fit if you want a structured music-school workshop audience in Fairfield County.</x:v>
      </x:c>
    </x:row>
    <x:row r="6" ht="42" customHeight="1">
      <x:c r="A6" s="34" t="str">
        <x:v>High</x:v>
      </x:c>
      <x:c r="B6" s="10" t="str">
        <x:v>Suzuki Music Schools</x:v>
      </x:c>
      <x:c r="C6" s="10" t="str">
        <x:v>School / arts org</x:v>
      </x:c>
      <x:c r="D6" s="10" t="str">
        <x:v>Westport</x:v>
      </x:c>
      <x:c r="E6" s="34" t="str">
        <x:v>CT</x:v>
      </x:c>
      <x:c r="F6" s="34" t="str">
        <x:v>35-40 min</x:v>
      </x:c>
      <x:c r="G6" s="10" t="str">
        <x:v>Explicit workshops</x:v>
      </x:c>
      <x:c r="H6" s="10" t="str">
        <x:v>Suzuki Schools office</x:v>
      </x:c>
      <x:c r="I6" s="10" t="str">
        <x:v>Main office</x:v>
      </x:c>
      <x:c r="J6" s="10" t="str">
        <x:v>office@suzukischools.org</x:v>
      </x:c>
      <x:c r="K6" s="34" t="str">
        <x:v>Verified</x:v>
      </x:c>
      <x:c r="L6" s="34" t="str">
        <x:v>203-227-9474</x:v>
      </x:c>
      <x:c r="M6" s="10" t="str">
        <x:v>Runs the Da Capo Visiting Artist Series with lessons/master classes and organizes the Connecticut Guitar Festival.</x:v>
      </x:c>
      <x:c r="N6" s="10" t="str">
        <x:v>Excellent target for a guitar-specific workshop or guest artist day.</x:v>
      </x:c>
    </x:row>
    <x:row r="7" ht="42" customHeight="1">
      <x:c r="A7" s="34" t="str">
        <x:v>High</x:v>
      </x:c>
      <x:c r="B7" s="10" t="str">
        <x:v>School of Rock Fairfield</x:v>
      </x:c>
      <x:c r="C7" s="10" t="str">
        <x:v>School / arts org</x:v>
      </x:c>
      <x:c r="D7" s="10" t="str">
        <x:v>Fairfield</x:v>
      </x:c>
      <x:c r="E7" s="34" t="str">
        <x:v>CT</x:v>
      </x:c>
      <x:c r="F7" s="34" t="str">
        <x:v>50-60 min</x:v>
      </x:c>
      <x:c r="G7" s="10" t="str">
        <x:v>Programs/events</x:v>
      </x:c>
      <x:c r="H7" s="10" t="str">
        <x:v>Michael Knobloch</x:v>
      </x:c>
      <x:c r="I7" s="10" t="str">
        <x:v>General Manager</x:v>
      </x:c>
      <x:c r="J7" s="10" t="str">
        <x:v>fairfield@schoolofrock.com</x:v>
      </x:c>
      <x:c r="K7" s="34" t="str">
        <x:v>Verified</x:v>
      </x:c>
      <x:c r="L7" s="34" t="str">
        <x:v>203-292-5473</x:v>
      </x:c>
      <x:c r="M7" s="10" t="str">
        <x:v>Actively runs camps, workshops, songwriting, adult programs, and guitar instruction.</x:v>
      </x:c>
      <x:c r="N7" s="10" t="str">
        <x:v>High-probability outreach target if Guitarmalade can frame the offer as performance-based or songwriting-friendly.</x:v>
      </x:c>
    </x:row>
    <x:row r="8" ht="42" customHeight="1">
      <x:c r="A8" s="34" t="str">
        <x:v>High</x:v>
      </x:c>
      <x:c r="B8" s="10" t="str">
        <x:v>Hoff-Barthelson Music School</x:v>
      </x:c>
      <x:c r="C8" s="10" t="str">
        <x:v>School / arts org</x:v>
      </x:c>
      <x:c r="D8" s="10" t="str">
        <x:v>Scarsdale</x:v>
      </x:c>
      <x:c r="E8" s="34" t="str">
        <x:v>NY</x:v>
      </x:c>
      <x:c r="F8" s="34" t="str">
        <x:v>35-45 min</x:v>
      </x:c>
      <x:c r="G8" s="10" t="str">
        <x:v>Explicit workshops</x:v>
      </x:c>
      <x:c r="H8" s="10" t="str">
        <x:v>Gabriella Sanna / HBMS office</x:v>
      </x:c>
      <x:c r="I8" s="10" t="str">
        <x:v>Executive Director / general office</x:v>
      </x:c>
      <x:c r="J8" s="10" t="str">
        <x:v>hb@hbms.org; registration@hbms.org</x:v>
      </x:c>
      <x:c r="K8" s="34" t="str">
        <x:v>Verified</x:v>
      </x:c>
      <x:c r="L8" s="34" t="str">
        <x:v>914-723-1169</x:v>
      </x:c>
      <x:c r="M8" s="10" t="str">
        <x:v>Long-running Westchester music school with dedicated master classes, workshops, and performance programming.</x:v>
      </x:c>
      <x:c r="N8" s="10" t="str">
        <x:v>Very strong fit for a guest workshop/masterclass proposal.</x:v>
      </x:c>
    </x:row>
    <x:row r="9" ht="42" customHeight="1">
      <x:c r="A9" s="34" t="str">
        <x:v>High</x:v>
      </x:c>
      <x:c r="B9" s="10" t="str">
        <x:v>Concordia Conservatory</x:v>
      </x:c>
      <x:c r="C9" s="10" t="str">
        <x:v>School / arts org</x:v>
      </x:c>
      <x:c r="D9" s="10" t="str">
        <x:v>Stamford</x:v>
      </x:c>
      <x:c r="E9" s="34" t="str">
        <x:v>CT</x:v>
      </x:c>
      <x:c r="F9" s="34" t="str">
        <x:v>20-25 min</x:v>
      </x:c>
      <x:c r="G9" s="10" t="str">
        <x:v>Explicit workshops</x:v>
      </x:c>
      <x:c r="H9" s="10" t="str">
        <x:v>Kathleen Suss</x:v>
      </x:c>
      <x:c r="I9" s="10" t="str">
        <x:v>Executive Director</x:v>
      </x:c>
      <x:c r="J9" s="10" t="str">
        <x:v>ksuss@concordiaconservatory.org</x:v>
      </x:c>
      <x:c r="K9" s="34" t="str">
        <x:v>Verified</x:v>
      </x:c>
      <x:c r="L9" s="34" t="str">
        <x:v>203-595-5059</x:v>
      </x:c>
      <x:c r="M9" s="10" t="str">
        <x:v>Community conservatory serving Fairfield and Westchester with summer programs and official masterclass history.</x:v>
      </x:c>
      <x:c r="N9" s="10" t="str">
        <x:v>Good near-market target; current site emphasizes broad music programming while official archives show masterclass activity.</x:v>
      </x:c>
    </x:row>
    <x:row r="10" ht="42" customHeight="1">
      <x:c r="A10" s="34" t="str">
        <x:v>High</x:v>
      </x:c>
      <x:c r="B10" s="10" t="str">
        <x:v>A.C.T. of CT</x:v>
      </x:c>
      <x:c r="C10" s="10" t="str">
        <x:v>School / arts org</x:v>
      </x:c>
      <x:c r="D10" s="10" t="str">
        <x:v>Ridgefield</x:v>
      </x:c>
      <x:c r="E10" s="34" t="str">
        <x:v>CT</x:v>
      </x:c>
      <x:c r="F10" s="34" t="str">
        <x:v>40-50 min</x:v>
      </x:c>
      <x:c r="G10" s="10" t="str">
        <x:v>Explicit workshops</x:v>
      </x:c>
      <x:c r="H10" s="10" t="str">
        <x:v>Education team</x:v>
      </x:c>
      <x:c r="I10" s="10" t="str">
        <x:v>Workshop booking / education</x:v>
      </x:c>
      <x:c r="J10" s="10" t="str">
        <x:v>education@actofct.org</x:v>
      </x:c>
      <x:c r="K10" s="34" t="str">
        <x:v>Verified</x:v>
      </x:c>
      <x:c r="L10" s="34" t="str">
        <x:v>475-215-5433</x:v>
      </x:c>
      <x:c r="M10" s="10" t="str">
        <x:v>Explicitly books masterclasses and custom workshops for schools and organizations.</x:v>
      </x:c>
      <x:c r="N10" s="10" t="str">
        <x:v>Thematic fit is broader performing arts, but the organization already handles custom education programming.</x:v>
      </x:c>
    </x:row>
    <x:row r="11" ht="42" customHeight="1">
      <x:c r="A11" s="34" t="str">
        <x:v>High</x:v>
      </x:c>
      <x:c r="B11" s="10" t="str">
        <x:v>Music Theatre of Connecticut</x:v>
      </x:c>
      <x:c r="C11" s="10" t="str">
        <x:v>School / arts org</x:v>
      </x:c>
      <x:c r="D11" s="10" t="str">
        <x:v>Norwalk</x:v>
      </x:c>
      <x:c r="E11" s="34" t="str">
        <x:v>CT</x:v>
      </x:c>
      <x:c r="F11" s="34" t="str">
        <x:v>25-30 min</x:v>
      </x:c>
      <x:c r="G11" s="10" t="str">
        <x:v>Explicit workshops</x:v>
      </x:c>
      <x:c r="H11" s="10" t="str">
        <x:v>MTC admin</x:v>
      </x:c>
      <x:c r="I11" s="10" t="str">
        <x:v>Box office / school office</x:v>
      </x:c>
      <x:c r="J11" s="10" t="str">
        <x:v>admin@musictheatreofct.com</x:v>
      </x:c>
      <x:c r="K11" s="34" t="str">
        <x:v>Verified</x:v>
      </x:c>
      <x:c r="L11" s="34" t="str">
        <x:v>203.454.3883</x:v>
      </x:c>
      <x:c r="M11" s="10" t="str">
        <x:v>Runs summer workshops, special master classes, private lessons, and conservatory training.</x:v>
      </x:c>
      <x:c r="N11" s="10" t="str">
        <x:v>Not guitar-specific, but already structured around outside teaching artists and workshop-style programming.</x:v>
      </x:c>
    </x:row>
    <x:row r="12" ht="42" customHeight="1">
      <x:c r="A12" s="34" t="str">
        <x:v>High</x:v>
      </x:c>
      <x:c r="B12" s="10" t="str">
        <x:v>Caramoor Center for Music and the Arts</x:v>
      </x:c>
      <x:c r="C12" s="10" t="str">
        <x:v>School / arts org</x:v>
      </x:c>
      <x:c r="D12" s="10" t="str">
        <x:v>Katonah</x:v>
      </x:c>
      <x:c r="E12" s="34" t="str">
        <x:v>NY</x:v>
      </x:c>
      <x:c r="F12" s="34" t="str">
        <x:v>40-50 min</x:v>
      </x:c>
      <x:c r="G12" s="10" t="str">
        <x:v>Explicit workshops</x:v>
      </x:c>
      <x:c r="H12" s="10" t="str">
        <x:v>Hallie Eichholz</x:v>
      </x:c>
      <x:c r="I12" s="10" t="str">
        <x:v>Artistic Department Coordinator</x:v>
      </x:c>
      <x:c r="J12" s="10" t="str">
        <x:v>hallie@caramoor.org</x:v>
      </x:c>
      <x:c r="K12" s="34" t="str">
        <x:v>Verified</x:v>
      </x:c>
      <x:c r="L12" s="34" t="str">
        <x:v>914.767.3830</x:v>
      </x:c>
      <x:c r="M12" s="10" t="str">
        <x:v>Student Strings program already delivers class visits, workshop intensives, discussions, and performances.</x:v>
      </x:c>
      <x:c r="N12" s="10" t="str">
        <x:v>Best positioned if the workshop can be pitched as a school-visit or educational residency.</x:v>
      </x:c>
    </x:row>
    <x:row r="13" ht="42" customHeight="1">
      <x:c r="A13" s="34" t="str">
        <x:v>High</x:v>
      </x:c>
      <x:c r="B13" s="10" t="str">
        <x:v>Greenwich House Music School</x:v>
      </x:c>
      <x:c r="C13" s="10" t="str">
        <x:v>School / arts org</x:v>
      </x:c>
      <x:c r="D13" s="10" t="str">
        <x:v>New York</x:v>
      </x:c>
      <x:c r="E13" s="34" t="str">
        <x:v>NY</x:v>
      </x:c>
      <x:c r="F13" s="34" t="str">
        <x:v>1 hr 20-40 min</x:v>
      </x:c>
      <x:c r="G13" s="10" t="str">
        <x:v>Explicit workshops</x:v>
      </x:c>
      <x:c r="H13" s="10" t="str">
        <x:v>Rachel Black</x:v>
      </x:c>
      <x:c r="I13" s="10" t="str">
        <x:v>Director</x:v>
      </x:c>
      <x:c r="J13" s="10" t="str">
        <x:v>rblack@greenwichhouse.org</x:v>
      </x:c>
      <x:c r="K13" s="34" t="str">
        <x:v>Verified</x:v>
      </x:c>
      <x:c r="L13" s="34" t="str">
        <x:v>212-242-4770</x:v>
      </x:c>
      <x:c r="M13" s="10" t="str">
        <x:v>Community music school with adult workshops/master classes and flexible event/community programming.</x:v>
      </x:c>
      <x:c r="N13" s="10" t="str">
        <x:v>Strong fit for an artist-led workshop with a community-school angle.</x:v>
      </x:c>
    </x:row>
    <x:row r="14" ht="42" customHeight="1">
      <x:c r="A14" s="34" t="str">
        <x:v>High</x:v>
      </x:c>
      <x:c r="B14" s="10" t="str">
        <x:v>Third Street Music School Settlement</x:v>
      </x:c>
      <x:c r="C14" s="10" t="str">
        <x:v>School / arts org</x:v>
      </x:c>
      <x:c r="D14" s="10" t="str">
        <x:v>New York</x:v>
      </x:c>
      <x:c r="E14" s="34" t="str">
        <x:v>NY</x:v>
      </x:c>
      <x:c r="F14" s="34" t="str">
        <x:v>1 hr 25-45 min</x:v>
      </x:c>
      <x:c r="G14" s="10" t="str">
        <x:v>Explicit workshops</x:v>
      </x:c>
      <x:c r="H14" s="10" t="str">
        <x:v>Student Services / Loyi Malu</x:v>
      </x:c>
      <x:c r="I14" s="10" t="str">
        <x:v>Director, Student Services, Inclusion &amp; Engagement</x:v>
      </x:c>
      <x:c r="J14" s="10" t="str">
        <x:v>student.services@thirdstreet.nyc</x:v>
      </x:c>
      <x:c r="K14" s="34" t="str">
        <x:v>Verified</x:v>
      </x:c>
      <x:c r="L14" s="34" t="str">
        <x:v>212-777-3240</x:v>
      </x:c>
      <x:c r="M14" s="10" t="str">
        <x:v>Runs adult performance and chamber music workshops plus guest master-class activity.</x:v>
      </x:c>
      <x:c r="N14" s="10" t="str">
        <x:v>Good community-school option if the pitch focuses on access, adults, or cross-genre learning.</x:v>
      </x:c>
    </x:row>
    <x:row r="15" ht="42" customHeight="1">
      <x:c r="A15" s="34" t="str">
        <x:v>High</x:v>
      </x:c>
      <x:c r="B15" s="10" t="str">
        <x:v>Kaufman Music Center / Lucy Moses School</x:v>
      </x:c>
      <x:c r="C15" s="10" t="str">
        <x:v>School / arts org</x:v>
      </x:c>
      <x:c r="D15" s="10" t="str">
        <x:v>New York</x:v>
      </x:c>
      <x:c r="E15" s="34" t="str">
        <x:v>NY</x:v>
      </x:c>
      <x:c r="F15" s="34" t="str">
        <x:v>1 hr 20-40 min</x:v>
      </x:c>
      <x:c r="G15" s="10" t="str">
        <x:v>Explicit workshops</x:v>
      </x:c>
      <x:c r="H15" s="10" t="str">
        <x:v>Igal Kesselman</x:v>
      </x:c>
      <x:c r="I15" s="10" t="str">
        <x:v>Director, Lucy Moses School</x:v>
      </x:c>
      <x:c r="J15" s="10" t="str">
        <x:v>lucymosesschool@kaufmanmusiccenter.org</x:v>
      </x:c>
      <x:c r="K15" s="34" t="str">
        <x:v>Verified</x:v>
      </x:c>
      <x:c r="L15" s="34" t="str">
        <x:v>212-501-3360</x:v>
      </x:c>
      <x:c r="M15" s="10" t="str">
        <x:v>Hosts workshops and masterclasses across Lucy Moses School, Merkin Hall, and related Kaufman programs.</x:v>
      </x:c>
      <x:c r="N15" s="10" t="str">
        <x:v>Good target if you want a polished NYC community-arts school partner.</x:v>
      </x:c>
    </x:row>
    <x:row r="16" ht="42" customHeight="1">
      <x:c r="A16" s="34" t="str">
        <x:v>Medium</x:v>
      </x:c>
      <x:c r="B16" s="10" t="str">
        <x:v>Purchase College Conservatory of Music</x:v>
      </x:c>
      <x:c r="C16" s="10" t="str">
        <x:v>College / conservatory</x:v>
      </x:c>
      <x:c r="D16" s="10" t="str">
        <x:v>Purchase</x:v>
      </x:c>
      <x:c r="E16" s="34" t="str">
        <x:v>NY</x:v>
      </x:c>
      <x:c r="F16" s="34" t="str">
        <x:v>30-40 min</x:v>
      </x:c>
      <x:c r="G16" s="10" t="str">
        <x:v>Institutional outreach</x:v>
      </x:c>
      <x:c r="H16" s="10" t="str">
        <x:v>Conservatory office / Sue Fleishaker</x:v>
      </x:c>
      <x:c r="I16" s="10" t="str">
        <x:v>Conservatory coordinator</x:v>
      </x:c>
      <x:c r="J16" s="10" t="str">
        <x:v>music@purchase.edu</x:v>
      </x:c>
      <x:c r="K16" s="34" t="str">
        <x:v>Verified</x:v>
      </x:c>
      <x:c r="L16" s="34" t="str">
        <x:v>914-251-6700</x:v>
      </x:c>
      <x:c r="M16" s="10" t="str">
        <x:v>Official pages state guest musicians regularly visit campus for master classes and lectures.</x:v>
      </x:c>
      <x:c r="N16" s="10" t="str">
        <x:v>More institutional and selective, but very close geographically and worth a faculty/outreach pitch.</x:v>
      </x:c>
    </x:row>
    <x:row r="17" ht="42" customHeight="1">
      <x:c r="A17" s="34" t="str">
        <x:v>Medium</x:v>
      </x:c>
      <x:c r="B17" s="10" t="str">
        <x:v>Yale School of Music / Music in Schools Initiative</x:v>
      </x:c>
      <x:c r="C17" s="10" t="str">
        <x:v>College / conservatory</x:v>
      </x:c>
      <x:c r="D17" s="10" t="str">
        <x:v>New Haven</x:v>
      </x:c>
      <x:c r="E17" s="34" t="str">
        <x:v>CT</x:v>
      </x:c>
      <x:c r="F17" s="34" t="str">
        <x:v>1 hr 20-35 min</x:v>
      </x:c>
      <x:c r="G17" s="10" t="str">
        <x:v>Institutional outreach</x:v>
      </x:c>
      <x:c r="H17" s="10" t="str">
        <x:v>Jenny Quian Lopez</x:v>
      </x:c>
      <x:c r="I17" s="10" t="str">
        <x:v>Manager, Music in Schools Initiative</x:v>
      </x:c>
      <x:c r="J17" s="10" t="str">
        <x:v>jennifer.quianlopez@yale.edu; musicinschools@yale.edu</x:v>
      </x:c>
      <x:c r="K17" s="34" t="str">
        <x:v>Verified</x:v>
      </x:c>
      <x:c r="L17" s="34" t="str"/>
      <x:c r="M17" s="10" t="str">
        <x:v>Yale guitar program includes guest-artist masterclasses; Music in Schools Initiative already connects music education to the community.</x:v>
      </x:c>
      <x:c r="N17" s="10" t="str">
        <x:v>Best approached as an education/outreach collaboration rather than a retail-style clinic.</x:v>
      </x:c>
    </x:row>
    <x:row r="18" ht="42" customHeight="1">
      <x:c r="A18" s="34" t="str">
        <x:v>Medium</x:v>
      </x:c>
      <x:c r="B18" s="10" t="str">
        <x:v>Mannes School of Music</x:v>
      </x:c>
      <x:c r="C18" s="10" t="str">
        <x:v>College / conservatory</x:v>
      </x:c>
      <x:c r="D18" s="10" t="str">
        <x:v>New York</x:v>
      </x:c>
      <x:c r="E18" s="34" t="str">
        <x:v>NY</x:v>
      </x:c>
      <x:c r="F18" s="34" t="str">
        <x:v>1 hr 20-40 min</x:v>
      </x:c>
      <x:c r="G18" s="10" t="str">
        <x:v>Institutional outreach</x:v>
      </x:c>
      <x:c r="H18" s="10" t="str">
        <x:v>College of Performing Arts Office of Admission</x:v>
      </x:c>
      <x:c r="I18" s="10" t="str">
        <x:v>General contact</x:v>
      </x:c>
      <x:c r="J18" s="10" t="str">
        <x:v>performingarts@newschool.edu; admission@newschool.edu</x:v>
      </x:c>
      <x:c r="K18" s="34" t="str">
        <x:v>Verified</x:v>
      </x:c>
      <x:c r="L18" s="34" t="str">
        <x:v>212.229.5150</x:v>
      </x:c>
      <x:c r="M18" s="10" t="str">
        <x:v>Official pages reference master classes, seminars, and special programs tied to the conservatory.</x:v>
      </x:c>
      <x:c r="N18" s="10" t="str">
        <x:v>Likely a longer-shot outreach path unless there is a strong faculty or youth-program fit.</x:v>
      </x:c>
    </x:row>
    <x:row r="19" ht="42" customHeight="1">
      <x:c r="A19" s="34" t="str">
        <x:v>Medium</x:v>
      </x:c>
      <x:c r="B19" s="10" t="str">
        <x:v>Manhattan School of Music</x:v>
      </x:c>
      <x:c r="C19" s="10" t="str">
        <x:v>College / conservatory</x:v>
      </x:c>
      <x:c r="D19" s="10" t="str">
        <x:v>New York</x:v>
      </x:c>
      <x:c r="E19" s="34" t="str">
        <x:v>NY</x:v>
      </x:c>
      <x:c r="F19" s="34" t="str">
        <x:v>1 hr 30-45 min</x:v>
      </x:c>
      <x:c r="G19" s="10" t="str">
        <x:v>Institutional outreach</x:v>
      </x:c>
      <x:c r="H19" s="10" t="str">
        <x:v>Chris Vaughn / CCRCI</x:v>
      </x:c>
      <x:c r="I19" s="10" t="str">
        <x:v>Director, Center for Career Readiness &amp; Community Impact</x:v>
      </x:c>
      <x:c r="J19" s="10" t="str">
        <x:v>centerforimpact@msmnyc.edu</x:v>
      </x:c>
      <x:c r="K19" s="34" t="str">
        <x:v>Verified</x:v>
      </x:c>
      <x:c r="L19" s="34" t="str">
        <x:v>917-493-4502</x:v>
      </x:c>
      <x:c r="M19" s="10" t="str">
        <x:v>MSM's community impact programs place teaching artists in schools and community centers; school also hosts public master classes.</x:v>
      </x:c>
      <x:c r="N19" s="10" t="str">
        <x:v>Best pitched as a school/community engagement workshop or youth-education collaboration.</x:v>
      </x:c>
    </x:row>
    <x:row r="20" ht="42" customHeight="1">
      <x:c r="A20" s="34" t="str">
        <x:v>Medium</x:v>
      </x:c>
      <x:c r="B20" s="10" t="str">
        <x:v>Juilliard Office of Community Engagement</x:v>
      </x:c>
      <x:c r="C20" s="10" t="str">
        <x:v>College / conservatory</x:v>
      </x:c>
      <x:c r="D20" s="10" t="str">
        <x:v>New York</x:v>
      </x:c>
      <x:c r="E20" s="34" t="str">
        <x:v>NY</x:v>
      </x:c>
      <x:c r="F20" s="34" t="str">
        <x:v>1 hr 20-40 min</x:v>
      </x:c>
      <x:c r="G20" s="10" t="str">
        <x:v>Institutional outreach</x:v>
      </x:c>
      <x:c r="H20" s="10" t="str">
        <x:v>Office of Community Engagement / Adrian Rodriguez</x:v>
      </x:c>
      <x:c r="I20" s="10" t="str">
        <x:v>Director of Community Engagement</x:v>
      </x:c>
      <x:c r="J20" s="10" t="str">
        <x:v>communityengagement@juilliard.edu (inferred; verify)</x:v>
      </x:c>
      <x:c r="K20" s="34" t="str">
        <x:v>Inferred</x:v>
      </x:c>
      <x:c r="L20" s="34" t="str">
        <x:v>(212) 799-5000 ext. 298</x:v>
      </x:c>
      <x:c r="M20" s="10" t="str">
        <x:v>Official page explicitly invites outside organizations to contact Juilliard about community engagement programming; guitar fellowship includes master classes.</x:v>
      </x:c>
      <x:c r="N20" s="10" t="str">
        <x:v>Email is inferred from the office name because the official page obfuscates the address in plain text. Verify on the contact page before sending.</x:v>
      </x:c>
    </x:row>
    <x:row r="21" ht="42" customHeight="1">
      <x:c r="A21" s="34" t="str">
        <x:v>Medium</x:v>
      </x:c>
      <x:c r="B21" s="10" t="str">
        <x:v>Hartt School Community Division</x:v>
      </x:c>
      <x:c r="C21" s="10" t="str">
        <x:v>College / conservatory</x:v>
      </x:c>
      <x:c r="D21" s="10" t="str">
        <x:v>West Hartford</x:v>
      </x:c>
      <x:c r="E21" s="34" t="str">
        <x:v>CT</x:v>
      </x:c>
      <x:c r="F21" s="34" t="str">
        <x:v>1 hr 50-2 hr</x:v>
      </x:c>
      <x:c r="G21" s="10" t="str">
        <x:v>Explicit workshops</x:v>
      </x:c>
      <x:c r="H21" s="10" t="str">
        <x:v>Hartt Community Division office</x:v>
      </x:c>
      <x:c r="I21" s="10" t="str">
        <x:v>General program office</x:v>
      </x:c>
      <x:c r="J21" s="10" t="str">
        <x:v>harttcomm@hartford.edu</x:v>
      </x:c>
      <x:c r="K21" s="34" t="str">
        <x:v>Verified</x:v>
      </x:c>
      <x:c r="L21" s="34" t="str">
        <x:v>860.768.4451</x:v>
      </x:c>
      <x:c r="M21" s="10" t="str">
        <x:v>Runs Suzuki guitar workshops and mini-workshops for music teachers through a respected college-affiliated program.</x:v>
      </x:c>
      <x:c r="N21" s="10" t="str">
        <x:v>At the edge of the radius, but clearly workshop-oriented and guitar-relevant.</x:v>
      </x:c>
    </x:row>
    <x:row r="22" ht="42" customHeight="1">
      <x:c r="A22" s="34" t="str">
        <x:v>Medium</x:v>
      </x:c>
      <x:c r="B22" s="10" t="str">
        <x:v>Steinway &amp; Sons Greenwich</x:v>
      </x:c>
      <x:c r="C22" s="10" t="str">
        <x:v>Store / retail business</x:v>
      </x:c>
      <x:c r="D22" s="10" t="str">
        <x:v>Old Greenwich</x:v>
      </x:c>
      <x:c r="E22" s="34" t="str">
        <x:v>CT</x:v>
      </x:c>
      <x:c r="F22" s="34" t="str">
        <x:v>10-15 min</x:v>
      </x:c>
      <x:c r="G22" s="10" t="str">
        <x:v>Programs/events</x:v>
      </x:c>
      <x:c r="H22" s="10" t="str">
        <x:v>Showroom team</x:v>
      </x:c>
      <x:c r="I22" s="10" t="str">
        <x:v>General showroom contact</x:v>
      </x:c>
      <x:c r="J22" s="10" t="str">
        <x:v>Official contact page / phone only</x:v>
      </x:c>
      <x:c r="K22" s="34" t="str">
        <x:v>Phone/Form only</x:v>
      </x:c>
      <x:c r="L22" s="34" t="str">
        <x:v>203-227-8222</x:v>
      </x:c>
      <x:c r="M22" s="10" t="str">
        <x:v>Official showroom page says it offers programs and services for music educators, pianists, patrons, and institutions.</x:v>
      </x:c>
      <x:c r="N22" s="10" t="str">
        <x:v>Useful local relationship target, but the official showroom pages do not publish a plain-text general email.</x:v>
      </x:c>
    </x:row>
    <x:row r="23" ht="42" customHeight="1">
      <x:c r="A23" s="34" t="str">
        <x:v>Medium</x:v>
      </x:c>
      <x:c r="B23" s="10" t="str">
        <x:v>The Muzic Store</x:v>
      </x:c>
      <x:c r="C23" s="10" t="str">
        <x:v>Store / retail business</x:v>
      </x:c>
      <x:c r="D23" s="10" t="str">
        <x:v>Dobbs Ferry</x:v>
      </x:c>
      <x:c r="E23" s="34" t="str">
        <x:v>NY</x:v>
      </x:c>
      <x:c r="F23" s="34" t="str">
        <x:v>50-60 min</x:v>
      </x:c>
      <x:c r="G23" s="10" t="str">
        <x:v>Programs/events</x:v>
      </x:c>
      <x:c r="H23" s="10" t="str">
        <x:v>Store team / lessons desk</x:v>
      </x:c>
      <x:c r="I23" s="10" t="str">
        <x:v>General store contact</x:v>
      </x:c>
      <x:c r="J23" s="10" t="str">
        <x:v>Official contact page / phone only</x:v>
      </x:c>
      <x:c r="K23" s="34" t="str">
        <x:v>Phone/Form only</x:v>
      </x:c>
      <x:c r="L23" s="34" t="str">
        <x:v>914-693-3200</x:v>
      </x:c>
      <x:c r="M23" s="10" t="str">
        <x:v>Store says it started as a music school and currently offers private/group lessons plus repair and recording services.</x:v>
      </x:c>
      <x:c r="N23" s="10" t="str">
        <x:v>Relevant business target, but the official site does not publish a plain-text public email.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  <x:col min="3" max="3" width="56" hidden="0" customWidth="1"/>
    <x:col min="4" max="4" width="52" hidden="0" customWidth="1"/>
  </x:cols>
  <x:sheetData>
    <x:row r="1" ht="26" customHeight="1">
      <x:c r="A1" s="38" t="str">
        <x:v>Organization</x:v>
      </x:c>
      <x:c r="B1" s="38" t="str">
        <x:v>Program / workshop source</x:v>
      </x:c>
      <x:c r="C1" s="38" t="str">
        <x:v>Contact source</x:v>
      </x:c>
      <x:c r="D1" s="38" t="str">
        <x:v>Source note</x:v>
      </x:c>
    </x:row>
    <x:row r="2" ht="48" customHeight="1">
      <x:c r="A2" s="10" t="str">
        <x:v>Round Hill Music Co.</x:v>
      </x:c>
      <x:c r="B2" s="10" t="str">
        <x:v>https://roundhillmusicco.com/pages/visit</x:v>
      </x:c>
      <x:c r="C2" s="10" t="str">
        <x:v>https://roundhillmusicco.com/pages/contact-rhmc</x:v>
      </x:c>
      <x:c r="D2" s="10" t="str">
        <x:v>Official site says the in-store stage hosts intimate performances, VIP events, artist clinics, and brand activations.</x:v>
      </x:c>
    </x:row>
    <x:row r="3" ht="48" customHeight="1">
      <x:c r="A3" s="10" t="str">
        <x:v>Giuliano's School of Music</x:v>
      </x:c>
      <x:c r="B3" s="10" t="str">
        <x:v>https://www.giulianosmusiccenter.com/music-instruction</x:v>
      </x:c>
      <x:c r="C3" s="10" t="str">
        <x:v>https://www.giulianosmusiccenter.com/copy-of-contact-us</x:v>
      </x:c>
      <x:c r="D3" s="10" t="str">
        <x:v>Official site highlights private music lessons and master theory classes; alternate official contact page lists email.</x:v>
      </x:c>
    </x:row>
    <x:row r="4" ht="48" customHeight="1">
      <x:c r="A4" s="10" t="str">
        <x:v>The Gig Center at Westport</x:v>
      </x:c>
      <x:c r="B4" s="10" t="str">
        <x:v>https://www.gigcenterwestport.com/store/</x:v>
      </x:c>
      <x:c r="C4" s="10" t="str">
        <x:v>https://www.gigcenterwestport.com/contact/</x:v>
      </x:c>
      <x:c r="D4" s="10" t="str">
        <x:v>Official site describes the business as primarily a music school and instrument repair facility with lesson scheduling through Chris Cass.</x:v>
      </x:c>
    </x:row>
    <x:row r="5" ht="48" customHeight="1">
      <x:c r="A5" s="10" t="str">
        <x:v>Westport School of Music</x:v>
      </x:c>
      <x:c r="B5" s="10" t="str">
        <x:v>https://wsmusic.org/programs</x:v>
      </x:c>
      <x:c r="C5" s="10" t="str">
        <x:v>https://wsmusic.org/contact</x:v>
      </x:c>
      <x:c r="D5" s="10" t="str">
        <x:v>Official program page includes the Songwriters' Workshop; official contact page lists Sarah Miller's email.</x:v>
      </x:c>
    </x:row>
    <x:row r="6" ht="48" customHeight="1">
      <x:c r="A6" s="10" t="str">
        <x:v>Suzuki Music Schools</x:v>
      </x:c>
      <x:c r="B6" s="10" t="str">
        <x:v>https://suzukischools.org/da-capo-series/</x:v>
      </x:c>
      <x:c r="C6" s="10" t="str">
        <x:v>https://suzukischools.org/contact-us/</x:v>
      </x:c>
      <x:c r="D6" s="10" t="str">
        <x:v>Official site says the Da Capo Visiting Artist Series exposes children to leading artists through lessons and master classes.</x:v>
      </x:c>
    </x:row>
    <x:row r="7" ht="48" customHeight="1">
      <x:c r="A7" s="10" t="str">
        <x:v>School of Rock Fairfield</x:v>
      </x:c>
      <x:c r="B7" s="10" t="str">
        <x:v>https://www.schoolofrock.com/locations/fairfield/music-camps</x:v>
      </x:c>
      <x:c r="C7" s="10" t="str">
        <x:v>https://www.schoolofrock.com/locations/fairfield</x:v>
      </x:c>
      <x:c r="D7" s="10" t="str">
        <x:v>Official location page lists camps/workshops and identifies Michael Knobloch as General Manager.</x:v>
      </x:c>
    </x:row>
    <x:row r="8" ht="48" customHeight="1">
      <x:c r="A8" s="10" t="str">
        <x:v>Hoff-Barthelson Music School</x:v>
      </x:c>
      <x:c r="B8" s="10" t="str">
        <x:v>https://hbms.org/master-classes/</x:v>
      </x:c>
      <x:c r="C8" s="10" t="str">
        <x:v>https://hbms.org/contact/</x:v>
      </x:c>
      <x:c r="D8" s="10" t="str">
        <x:v>Official pages emphasize master classes and workshops as core parts of the student experience.</x:v>
      </x:c>
    </x:row>
    <x:row r="9" ht="48" customHeight="1">
      <x:c r="A9" s="10" t="str">
        <x:v>Concordia Conservatory</x:v>
      </x:c>
      <x:c r="B9" s="10" t="str">
        <x:v>https://www.concordiaconservatory.org/programs/summer-programs</x:v>
      </x:c>
      <x:c r="C9" s="10" t="str">
        <x:v>https://www.concordiaconservatory.org/about/contact-us</x:v>
      </x:c>
      <x:c r="D9" s="10" t="str">
        <x:v>Official current site highlights youth/adult/summer programs; official archive pages and press releases document master classes.</x:v>
      </x:c>
    </x:row>
    <x:row r="10" ht="48" customHeight="1">
      <x:c r="A10" s="10" t="str">
        <x:v>A.C.T. of CT</x:v>
      </x:c>
      <x:c r="B10" s="10" t="str">
        <x:v>https://www.actofct.org/masterclasses-school-workshops</x:v>
      </x:c>
      <x:c r="C10" s="10" t="str">
        <x:v>https://www.actofct.org/community</x:v>
      </x:c>
      <x:c r="D10" s="10" t="str">
        <x:v>Official site says A.C.T. of CT can coordinate group workshop opportunities individually with a school, class, or organization.</x:v>
      </x:c>
    </x:row>
    <x:row r="11" ht="48" customHeight="1">
      <x:c r="A11" s="10" t="str">
        <x:v>Music Theatre of Connecticut</x:v>
      </x:c>
      <x:c r="B11" s="10" t="str">
        <x:v>https://www.musictheatreofct.com/school-summer</x:v>
      </x:c>
      <x:c r="C11" s="10" t="str">
        <x:v>https://www.musictheatreofct.com/contactus</x:v>
      </x:c>
      <x:c r="D11" s="10" t="str">
        <x:v>Official site says the school offers summer workshops and special master classes.</x:v>
      </x:c>
    </x:row>
    <x:row r="12" ht="48" customHeight="1">
      <x:c r="A12" s="10" t="str">
        <x:v>Caramoor Center for Music and the Arts</x:v>
      </x:c>
      <x:c r="B12" s="10" t="str">
        <x:v>https://caramoor.org/education/school-programs/</x:v>
      </x:c>
      <x:c r="C12" s="10" t="str">
        <x:v>https://caramoor.org/contact-us/</x:v>
      </x:c>
      <x:c r="D12" s="10" t="str">
        <x:v>Official education pages invite schools to contact Hallie Eichholz about Student Strings workshop intensives.</x:v>
      </x:c>
    </x:row>
    <x:row r="13" ht="48" customHeight="1">
      <x:c r="A13" s="10" t="str">
        <x:v>Greenwich House Music School</x:v>
      </x:c>
      <x:c r="B13" s="10" t="str">
        <x:v>https://greenwichhouse.org/music-school/classes/adult-programs/</x:v>
      </x:c>
      <x:c r="C13" s="10" t="str">
        <x:v>https://greenwichhouse.org/music-school/contact-greenwich-house-music-school/</x:v>
      </x:c>
      <x:c r="D13" s="10" t="str">
        <x:v>Official site lists workshops and master classes and publishes director Rachel Black's email.</x:v>
      </x:c>
    </x:row>
    <x:row r="14" ht="48" customHeight="1">
      <x:c r="A14" s="10" t="str">
        <x:v>Third Street Music School Settlement</x:v>
      </x:c>
      <x:c r="B14" s="10" t="str">
        <x:v>https://musicanddance.thirdstreet.nyc/adult-programs</x:v>
      </x:c>
      <x:c r="C14" s="10" t="str">
        <x:v>https://www.thirdstreet.nyc/</x:v>
      </x:c>
      <x:c r="D14" s="10" t="str">
        <x:v>Official adult programs page lists workshop offerings; official site publishes Student Services contact info.</x:v>
      </x:c>
    </x:row>
    <x:row r="15" ht="48" customHeight="1">
      <x:c r="A15" s="10" t="str">
        <x:v>Kaufman Music Center / Lucy Moses School</x:v>
      </x:c>
      <x:c r="B15" s="10" t="str">
        <x:v>https://www.kaufmanmusiccenter.org/lms/</x:v>
      </x:c>
      <x:c r="C15" s="10" t="str">
        <x:v>https://www.kaufmanmusiccenter.org/contact/</x:v>
      </x:c>
      <x:c r="D15" s="10" t="str">
        <x:v>Official pages list Lucy Moses School contact info and identify Igal Kesselman as Director.</x:v>
      </x:c>
    </x:row>
    <x:row r="16" ht="48" customHeight="1">
      <x:c r="A16" s="10" t="str">
        <x:v>Purchase College Conservatory of Music</x:v>
      </x:c>
      <x:c r="B16" s="10" t="str">
        <x:v>https://www.purchase.edu/academics/music/</x:v>
      </x:c>
      <x:c r="C16" s="10" t="str">
        <x:v>https://www.purchase.edu/academics/music/music-faq/</x:v>
      </x:c>
      <x:c r="D16" s="10" t="str">
        <x:v>Official conservatory pages describe guest musicians visiting for master classes; official FAQ page lists the contact email.</x:v>
      </x:c>
    </x:row>
    <x:row r="17" ht="48" customHeight="1">
      <x:c r="A17" s="10" t="str">
        <x:v>Yale School of Music / Music in Schools Initiative</x:v>
      </x:c>
      <x:c r="B17" s="10" t="str">
        <x:v>https://music.yale.edu/music-schools-initiative</x:v>
      </x:c>
      <x:c r="C17" s="10" t="str">
        <x:v>https://music.yale.edu/staff-directory</x:v>
      </x:c>
      <x:c r="D17" s="10" t="str">
        <x:v>Official Yale pages list the Music in Schools Initiative and identify guitar masterclass activity.</x:v>
      </x:c>
    </x:row>
    <x:row r="18" ht="48" customHeight="1">
      <x:c r="A18" s="10" t="str">
        <x:v>Mannes School of Music</x:v>
      </x:c>
      <x:c r="B18" s="10" t="str">
        <x:v>https://www.newschool.edu/mannes/special-programs/</x:v>
      </x:c>
      <x:c r="C18" s="10" t="str">
        <x:v>https://www.newschool.edu/mannes/admission/contact-us/</x:v>
      </x:c>
      <x:c r="D18" s="10" t="str">
        <x:v>Official Mannes pages reference master classes and workshops; official contact page lists performingarts@newschool.edu.</x:v>
      </x:c>
    </x:row>
    <x:row r="19" ht="48" customHeight="1">
      <x:c r="A19" s="10" t="str">
        <x:v>Manhattan School of Music</x:v>
      </x:c>
      <x:c r="B19" s="10" t="str">
        <x:v>https://www.msmnyc.edu/programs/the-center-for-career-readiness-and-community-impact/community-impact/</x:v>
      </x:c>
      <x:c r="C19" s="10" t="str">
        <x:v>https://www.msmnyc.edu/programs/the-center-for-career-readiness-and-community-impact/</x:v>
      </x:c>
      <x:c r="D19" s="10" t="str">
        <x:v>Official MSM pages describe community teaching and performance partnerships and list CCRCI contact emails.</x:v>
      </x:c>
    </x:row>
    <x:row r="20" ht="48" customHeight="1">
      <x:c r="A20" s="10" t="str">
        <x:v>Juilliard Office of Community Engagement</x:v>
      </x:c>
      <x:c r="B20" s="10" t="str">
        <x:v>https://www.juilliard.edu/stage-beyond/office-community-engagement</x:v>
      </x:c>
      <x:c r="C20" s="10" t="str">
        <x:v>https://www.juilliard.edu/stage-beyond/office-community-engagement</x:v>
      </x:c>
      <x:c r="D20" s="10" t="str">
        <x:v>Official page explicitly asks organizations interested in programming to contact the Office of Community Engagement and lists staff roles.</x:v>
      </x:c>
    </x:row>
    <x:row r="21" ht="48" customHeight="1">
      <x:c r="A21" s="10" t="str">
        <x:v>Hartt School Community Division</x:v>
      </x:c>
      <x:c r="B21" s="10" t="str">
        <x:v>https://www.hartford.edu/hartt-community-division/music/Suzuki-workshops%20.aspx</x:v>
      </x:c>
      <x:c r="C21" s="10" t="str">
        <x:v>https://www.hartford.edu/hartt-community-division/about/default.aspx</x:v>
      </x:c>
      <x:c r="D21" s="10" t="str">
        <x:v>Official Hartt pages list Suzuki guitar workshops and the main community division contact email.</x:v>
      </x:c>
    </x:row>
    <x:row r="22" ht="48" customHeight="1">
      <x:c r="A22" s="10" t="str">
        <x:v>Steinway &amp; Sons Greenwich</x:v>
      </x:c>
      <x:c r="B22" s="10" t="str">
        <x:v>https://www.steinwayct.com/education</x:v>
      </x:c>
      <x:c r="C22" s="10" t="str">
        <x:v>https://www.steinwayct.com/locations/greenwich</x:v>
      </x:c>
      <x:c r="D22" s="10" t="str">
        <x:v>Official Greenwich showroom pages mention educator/student programs and direct visitors to contact by phone or form.</x:v>
      </x:c>
    </x:row>
    <x:row r="23" ht="48" customHeight="1">
      <x:c r="A23" s="10" t="str">
        <x:v>The Muzic Store</x:v>
      </x:c>
      <x:c r="B23" s="10" t="str">
        <x:v>https://www.muzicstore.com/services.html</x:v>
      </x:c>
      <x:c r="C23" s="10" t="str">
        <x:v>https://www.muzicstore.com/contact-and-hours.html</x:v>
      </x:c>
      <x:c r="D23" s="10" t="str">
        <x:v>Official site highlights lessons and says the business began as a music school; contact page shows phone and address only.</x:v>
      </x:c>
    </x:row>
  </x:sheetData>
  <x:pageMargins left="0.7" right="0.7" top="0.75" bottom="0.75" header="0.3" footer="0.3"/>
</x:worksheet>
</file>